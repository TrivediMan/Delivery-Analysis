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tr\Downloads\Project Data Analysis\Excel File\"/>
    </mc:Choice>
  </mc:AlternateContent>
  <xr:revisionPtr revIDLastSave="0" documentId="13_ncr:1_{A77D5B97-7B9A-418E-A05A-A8C7A236BFAA}" xr6:coauthVersionLast="47" xr6:coauthVersionMax="47" xr10:uidLastSave="{00000000-0000-0000-0000-000000000000}"/>
  <bookViews>
    <workbookView xWindow="24" yWindow="744" windowWidth="23016" windowHeight="13656" tabRatio="500" activeTab="3" xr2:uid="{00000000-000D-0000-FFFF-FFFF00000000}"/>
  </bookViews>
  <sheets>
    <sheet name="row data" sheetId="1" r:id="rId1"/>
    <sheet name="Lookup sheet" sheetId="2" r:id="rId2"/>
    <sheet name="Cleaned Data" sheetId="3" r:id="rId3"/>
    <sheet name="Summury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6" i="5" l="1"/>
  <c r="K5" i="5"/>
  <c r="K4" i="5"/>
  <c r="I2" i="3"/>
  <c r="I3" i="3"/>
  <c r="I4" i="3"/>
  <c r="I5" i="3"/>
  <c r="I6" i="3"/>
  <c r="I7" i="3"/>
  <c r="I8" i="3"/>
  <c r="I9" i="3"/>
  <c r="I10" i="3"/>
  <c r="I11" i="3"/>
  <c r="I12" i="3"/>
  <c r="I13" i="3"/>
  <c r="H2" i="3"/>
  <c r="H3" i="3"/>
  <c r="H4" i="3"/>
  <c r="H5" i="3"/>
  <c r="H6" i="3"/>
  <c r="H7" i="3"/>
  <c r="H8" i="3"/>
  <c r="H9" i="3"/>
  <c r="H10" i="3"/>
  <c r="H11" i="3"/>
  <c r="H12" i="3"/>
  <c r="H13" i="3"/>
  <c r="G2" i="3"/>
  <c r="G3" i="3"/>
  <c r="G4" i="3"/>
  <c r="G5" i="3"/>
  <c r="G6" i="3"/>
  <c r="G7" i="3"/>
  <c r="G8" i="3"/>
  <c r="G9" i="3"/>
  <c r="G10" i="3"/>
  <c r="G11" i="3"/>
  <c r="G12" i="3"/>
  <c r="G13" i="3"/>
</calcChain>
</file>

<file path=xl/sharedStrings.xml><?xml version="1.0" encoding="utf-8"?>
<sst xmlns="http://schemas.openxmlformats.org/spreadsheetml/2006/main" count="120" uniqueCount="30">
  <si>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</si>
  <si>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</si>
  <si>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</si>
  <si>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</si>
  <si>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</si>
  <si>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</si>
  <si>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</si>
  <si>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</si>
  <si>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</si>
  <si>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</si>
  <si>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</si>
  <si>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</si>
  <si>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</si>
  <si>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</si>
  <si>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</si>
  <si>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</si>
  <si>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</si>
  <si>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</si>
  <si>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</si>
  <si>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</si>
  <si>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</si>
  <si>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</si>
  <si>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</si>
  <si>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</si>
  <si>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</si>
  <si>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Sum of Delay_days</t>
  </si>
  <si>
    <t>Row Labels</t>
  </si>
  <si>
    <t>Grand Total</t>
  </si>
  <si>
    <t>Column Labels</t>
  </si>
  <si>
    <t>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</si>
</sst>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2" xfId="0" applyFont="1" applyBorder="1"/>
    <xf numFmtId="0" fontId="1" fillId="2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[Deliveries2.xlsx]Summury!PivotTable1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Summury!$B$3:$B$4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Summury!$A$5:$A$7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Summury!$B$5:$B$7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B-4798-9B57-E25D0B694817}"/>
            </c:ext>
          </c:extLst>
        </c:ser>
        <c:ser>
          <c:idx val="1"/>
          <c:order val="1"/>
          <c:tx>
            <c:strRef>
              <c:f>Summury!$C$3:$C$4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Summury!$A$5:$A$7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Summury!$C$5:$C$7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B-4798-9B57-E25D0B694817}"/>
            </c:ext>
          </c:extLst>
        </c:ser>
        <c:ser>
          <c:idx val="2"/>
          <c:order val="2"/>
          <c:tx>
            <c:strRef>
              <c:f>Summury!$D$3:$D$4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Summury!$A$5:$A$7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Summury!$D$5:$D$7</c:f>
              <c:numCache>
                <c:formatCode>General</c:formatCode>
                <c:ptCount val="2"/>
                <c:pt idx="0">
                  <c:v>8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6B-4798-9B57-E25D0B694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9784847"/>
        <c:axId val="499707823"/>
        <c:axId val="0"/>
      </c:bar3DChart>
      <c:catAx>
        <c:axId val="120978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707823"/>
        <c:crosses val="autoZero"/>
        <c:auto val="1"/>
        <c:lblAlgn val="ctr"/>
        <c:lblOffset val="100"/>
        <c:noMultiLvlLbl val="0"/>
      </c:catAx>
      <c:valAx>
        <c:axId val="49970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8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12</xdr:row>
      <xdr:rowOff>121920</xdr:rowOff>
    </xdr:from>
    <xdr:to>
      <xdr:col>7</xdr:col>
      <xdr:colOff>76200</xdr:colOff>
      <xdr:row>29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75FF3-CE15-6CCB-87E3-9B9625210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 trivedi" refreshedDate="46298.455810300926" createdVersion="8" refreshedVersion="8" minRefreshableVersion="3" recordCount="13" xr:uid="{0ED45766-D825-4061-A692-66A3DB78AFD9}">
  <cacheSource type="worksheet">
    <worksheetSource name="clean"/>
  </cacheSource>
  <cacheFields count="9">
    <cacheField name="record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0">
      <sharedItems containsSemiMixedTypes="0" containsString="0" containsNumber="1" containsInteger="1" minValue="2" maxValue="6"/>
    </cacheField>
    <cacheField name="actual_days" numFmtId="0">
      <sharedItems containsSemiMixedTypes="0" containsString="0" containsNumber="1" containsInteger="1" minValue="2" maxValue="15"/>
    </cacheField>
    <cacheField name="route" numFmtId="0">
      <sharedItems/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x v="0"/>
    <s v="R1"/>
    <s v="Mumbai"/>
    <n v="2"/>
    <n v="2"/>
    <s v="Metro Link"/>
    <x v="0"/>
    <n v="0"/>
  </r>
  <r>
    <n v="2"/>
    <x v="0"/>
    <s v="R2"/>
    <s v="Chennai"/>
    <n v="3"/>
    <n v="4"/>
    <s v="City Dash"/>
    <x v="0"/>
    <n v="1"/>
  </r>
  <r>
    <n v="3"/>
    <x v="0"/>
    <s v="R3"/>
    <s v="Delhi"/>
    <n v="5"/>
    <n v="8"/>
    <s v="Highway Freight"/>
    <x v="1"/>
    <n v="3"/>
  </r>
  <r>
    <n v="4"/>
    <x v="0"/>
    <s v="R4"/>
    <s v="Mumbai"/>
    <n v="6"/>
    <n v="10"/>
    <s v="Rural Feeder"/>
    <x v="1"/>
    <n v="4"/>
  </r>
  <r>
    <n v="5"/>
    <x v="1"/>
    <s v="R1"/>
    <s v="Chennai"/>
    <n v="2"/>
    <n v="5"/>
    <s v="Metro Link"/>
    <x v="0"/>
    <n v="3"/>
  </r>
  <r>
    <n v="6"/>
    <x v="1"/>
    <s v="R2"/>
    <s v="Delhi"/>
    <n v="3"/>
    <n v="3"/>
    <s v="City Dash"/>
    <x v="0"/>
    <n v="0"/>
  </r>
  <r>
    <n v="7"/>
    <x v="1"/>
    <s v="R3"/>
    <s v="Delhi"/>
    <n v="5"/>
    <n v="10"/>
    <s v="Highway Freight"/>
    <x v="1"/>
    <n v="5"/>
  </r>
  <r>
    <n v="8"/>
    <x v="1"/>
    <s v="R4"/>
    <s v="Chennai"/>
    <n v="6"/>
    <n v="7"/>
    <s v="Rural Feeder"/>
    <x v="1"/>
    <n v="1"/>
  </r>
  <r>
    <n v="9"/>
    <x v="2"/>
    <s v="R1"/>
    <s v="Delhi"/>
    <n v="2"/>
    <n v="8"/>
    <s v="Metro Link"/>
    <x v="0"/>
    <n v="6"/>
  </r>
  <r>
    <n v="10"/>
    <x v="2"/>
    <s v="R2"/>
    <s v="Mumbai"/>
    <n v="3"/>
    <n v="5"/>
    <s v="City Dash"/>
    <x v="0"/>
    <n v="2"/>
  </r>
  <r>
    <n v="11"/>
    <x v="2"/>
    <s v="R3"/>
    <s v="Chennai"/>
    <n v="5"/>
    <n v="5"/>
    <s v="Highway Freight"/>
    <x v="1"/>
    <n v="0"/>
  </r>
  <r>
    <n v="12"/>
    <x v="2"/>
    <s v="R4"/>
    <s v="Mumbai"/>
    <n v="6"/>
    <n v="15"/>
    <s v="Rural Feeder"/>
    <x v="1"/>
    <n v="9"/>
  </r>
  <r>
    <n v="12"/>
    <x v="2"/>
    <s v="R4"/>
    <s v="Mumbai"/>
    <n v="6"/>
    <n v="15"/>
    <s v="Rural Feeder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846E8-0191-468B-8558-B7AC34A7A6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7" firstHeaderRow="1" firstDataRow="2" firstDataCol="1"/>
  <pivotFields count="9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7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8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0B29B1-55BB-47D2-A120-8284C9150E0F}" name="look" displayName="look" ref="A1:C5" totalsRowShown="0" headerRowDxfId="6" headerRowBorderDxfId="5" tableBorderDxfId="4" totalsRowBorderDxfId="3">
  <autoFilter ref="A1:C5" xr:uid="{D10B29B1-55BB-47D2-A120-8284C9150E0F}"/>
  <tableColumns count="3">
    <tableColumn id="1" xr3:uid="{F2AA5549-A921-47AF-95DA-EAC22E81B046}" name="route_id"/>
    <tableColumn id="2" xr3:uid="{14C9A604-2474-433C-AD41-FF656EE4C75F}" name="route"/>
    <tableColumn id="3" xr3:uid="{FB04FB87-93CE-4CEE-B715-B3A9E47C5BDC}" name="service_type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8CE85C-2425-4ED6-9878-C5DA075E945F}" name="clean" displayName="clean" ref="A1:I13" totalsRowShown="0">
  <autoFilter ref="A1:I13" xr:uid="{3B8CE85C-2425-4ED6-9878-C5DA075E945F}"/>
  <tableColumns count="9">
    <tableColumn id="1" xr3:uid="{71A860E9-4BC3-42FA-9161-6B680AB5094C}" name="record_id"/>
    <tableColumn id="2" xr3:uid="{0DD24C7E-7325-4670-9C92-E7722D60AD95}" name="month"/>
    <tableColumn id="3" xr3:uid="{E32E5A2C-8387-4041-B78E-F013C6BB685B}" name="route_id"/>
    <tableColumn id="4" xr3:uid="{AB1F1B8A-8A7F-422B-B12D-60B76CAF067F}" name="hub"/>
    <tableColumn id="5" xr3:uid="{2AAA705B-2824-4E73-9C62-01F124C4E024}" name="promised_days"/>
    <tableColumn id="6" xr3:uid="{AFC6A158-4E8C-4F3E-8944-005AFDD6E654}" name="actual_days"/>
    <tableColumn id="7" xr3:uid="{830B4060-6C29-4091-830B-9CDAF98B189B}" name="route" dataDxfId="2">
      <calculatedColumnFormula>_xlfn.XLOOKUP(clean[[#This Row],[route_id]],look[route_id],look[route])</calculatedColumnFormula>
    </tableColumn>
    <tableColumn id="8" xr3:uid="{4BC8FBA1-F87F-4C31-B3AE-06EC8EB502A7}" name="service_type" dataDxfId="1">
      <calculatedColumnFormula>_xlfn.XLOOKUP(clean[[#This Row],[route_id]],look[route_id],look[service_type])</calculatedColumnFormula>
    </tableColumn>
    <tableColumn id="9" xr3:uid="{515CD68F-9346-438C-AC40-966F2A66DC91}" name="Delay_days" dataDxfId="0">
      <calculatedColumnFormula>MAX(clean[[#This Row],[actual_days]] - clean[[#This Row],[promised_days]])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12D783-1259-4A62-BBA4-A5614C6D01EC}" name="Table4" displayName="Table4" ref="J3:K6" totalsRowShown="0">
  <autoFilter ref="J3:K6" xr:uid="{9D12D783-1259-4A62-BBA4-A5614C6D01EC}"/>
  <tableColumns count="2">
    <tableColumn id="1" xr3:uid="{3CB86FA0-C0FE-4818-959E-015FB1FF966E}" name="Hub"/>
    <tableColumn id="2" xr3:uid="{84AC68D2-E5E1-4F83-B6DE-F6167BB913DB}" name="Delay_day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Normal="100" workbookViewId="0">
      <selection sqref="A1:F14"/>
    </sheetView>
  </sheetViews>
  <sheetFormatPr defaultColWidth="11.5546875" defaultRowHeight="13.2" x14ac:dyDescent="0.25"/>
  <cols>
    <col min="1" max="1" width="9" customWidth="1"/>
    <col min="2" max="2" width="6.5546875" customWidth="1"/>
    <col min="3" max="3" width="8" customWidth="1"/>
    <col min="4" max="4" width="8.109375" customWidth="1"/>
    <col min="5" max="5" width="13.77734375" customWidth="1"/>
    <col min="6" max="6" width="11.332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6" x14ac:dyDescent="0.25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</row>
    <row r="4" spans="1:6" x14ac:dyDescent="0.25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</row>
    <row r="5" spans="1:6" x14ac:dyDescent="0.25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</row>
    <row r="6" spans="1:6" x14ac:dyDescent="0.25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</row>
    <row r="7" spans="1:6" x14ac:dyDescent="0.25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</row>
    <row r="8" spans="1:6" x14ac:dyDescent="0.25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</row>
    <row r="9" spans="1:6" x14ac:dyDescent="0.25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</row>
    <row r="10" spans="1:6" x14ac:dyDescent="0.25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</row>
    <row r="11" spans="1:6" x14ac:dyDescent="0.25">
      <c r="A11">
        <v>10</v>
      </c>
      <c r="B11" t="s">
        <v>15</v>
      </c>
      <c r="C11" t="s">
        <v>9</v>
      </c>
      <c r="D11" t="s">
        <v>8</v>
      </c>
      <c r="E11">
        <v>3</v>
      </c>
      <c r="F11">
        <v>5</v>
      </c>
    </row>
    <row r="12" spans="1:6" x14ac:dyDescent="0.25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</row>
    <row r="13" spans="1:6" x14ac:dyDescent="0.25">
      <c r="A13">
        <v>12</v>
      </c>
      <c r="B13" t="s">
        <v>15</v>
      </c>
      <c r="C13" t="s">
        <v>13</v>
      </c>
      <c r="D13" t="s">
        <v>8</v>
      </c>
      <c r="E13">
        <v>6</v>
      </c>
      <c r="F13">
        <v>15</v>
      </c>
    </row>
    <row r="14" spans="1:6" x14ac:dyDescent="0.25">
      <c r="A14">
        <v>12</v>
      </c>
      <c r="B14" t="s">
        <v>15</v>
      </c>
      <c r="C14" t="s">
        <v>13</v>
      </c>
      <c r="D14" t="s">
        <v>8</v>
      </c>
      <c r="E14">
        <v>6</v>
      </c>
      <c r="F14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6332-BF81-4E7D-8EBF-461719BFD701}">
  <dimension ref="A1:C5"/>
  <sheetViews>
    <sheetView workbookViewId="0">
      <selection sqref="A1:C5"/>
    </sheetView>
  </sheetViews>
  <sheetFormatPr defaultRowHeight="13.2" x14ac:dyDescent="0.25"/>
  <cols>
    <col min="1" max="1" width="10.5546875" customWidth="1"/>
    <col min="2" max="2" width="12.109375" customWidth="1"/>
    <col min="3" max="3" width="15.88671875" customWidth="1"/>
  </cols>
  <sheetData>
    <row r="1" spans="1:3" x14ac:dyDescent="0.25">
      <c r="A1" s="3" t="s">
        <v>2</v>
      </c>
      <c r="B1" s="3" t="s">
        <v>16</v>
      </c>
      <c r="C1" s="3" t="s">
        <v>17</v>
      </c>
    </row>
    <row r="2" spans="1:3" x14ac:dyDescent="0.25">
      <c r="A2" s="3" t="s">
        <v>7</v>
      </c>
      <c r="B2" s="3" t="s">
        <v>18</v>
      </c>
      <c r="C2" s="3" t="s">
        <v>19</v>
      </c>
    </row>
    <row r="3" spans="1:3" x14ac:dyDescent="0.25">
      <c r="A3" s="2" t="s">
        <v>9</v>
      </c>
      <c r="B3" s="2" t="s">
        <v>20</v>
      </c>
      <c r="C3" s="2" t="s">
        <v>19</v>
      </c>
    </row>
    <row r="4" spans="1:3" x14ac:dyDescent="0.25">
      <c r="A4" s="1" t="s">
        <v>11</v>
      </c>
      <c r="B4" s="1" t="s">
        <v>21</v>
      </c>
      <c r="C4" s="1" t="s">
        <v>22</v>
      </c>
    </row>
    <row r="5" spans="1:3" x14ac:dyDescent="0.25">
      <c r="A5" s="4" t="s">
        <v>13</v>
      </c>
      <c r="B5" s="4" t="s">
        <v>23</v>
      </c>
      <c r="C5" s="4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D992-2E83-4BD1-8D6E-C350368872E0}">
  <dimension ref="A1:I13"/>
  <sheetViews>
    <sheetView workbookViewId="0">
      <selection activeCell="G17" sqref="G17"/>
    </sheetView>
  </sheetViews>
  <sheetFormatPr defaultRowHeight="13.2" x14ac:dyDescent="0.25"/>
  <cols>
    <col min="1" max="1" width="11.21875" customWidth="1"/>
    <col min="3" max="3" width="10.109375" customWidth="1"/>
    <col min="5" max="5" width="16.109375" customWidth="1"/>
    <col min="6" max="6" width="13.21875" customWidth="1"/>
    <col min="7" max="7" width="15.77734375" customWidth="1"/>
    <col min="8" max="8" width="20.77734375" customWidth="1"/>
    <col min="9" max="9" width="13.66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17</v>
      </c>
      <c r="I1" t="s">
        <v>24</v>
      </c>
    </row>
    <row r="2" spans="1:9" x14ac:dyDescent="0.25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  <c r="G2" t="str">
        <f>_xlfn.XLOOKUP(clean[[#This Row],[route_id]],look[route_id],look[route])</f>
        <v>Metro Link</v>
      </c>
      <c r="H2" t="str">
        <f>_xlfn.XLOOKUP(clean[[#This Row],[route_id]],look[route_id],look[service_type])</f>
        <v>Express</v>
      </c>
      <c r="I2">
        <f>MAX(clean[[#This Row],[actual_days]] - clean[[#This Row],[promised_days]])</f>
        <v>0</v>
      </c>
    </row>
    <row r="3" spans="1:9" x14ac:dyDescent="0.25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  <c r="G3" t="str">
        <f>_xlfn.XLOOKUP(clean[[#This Row],[route_id]],look[route_id],look[route])</f>
        <v>City Dash</v>
      </c>
      <c r="H3" t="str">
        <f>_xlfn.XLOOKUP(clean[[#This Row],[route_id]],look[route_id],look[service_type])</f>
        <v>Express</v>
      </c>
      <c r="I3">
        <f>MAX(clean[[#This Row],[actual_days]] - clean[[#This Row],[promised_days]])</f>
        <v>1</v>
      </c>
    </row>
    <row r="4" spans="1:9" x14ac:dyDescent="0.25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  <c r="G4" t="str">
        <f>_xlfn.XLOOKUP(clean[[#This Row],[route_id]],look[route_id],look[route])</f>
        <v>Highway Freight</v>
      </c>
      <c r="H4" t="str">
        <f>_xlfn.XLOOKUP(clean[[#This Row],[route_id]],look[route_id],look[service_type])</f>
        <v>Standard</v>
      </c>
      <c r="I4">
        <f>MAX(clean[[#This Row],[actual_days]] - clean[[#This Row],[promised_days]])</f>
        <v>3</v>
      </c>
    </row>
    <row r="5" spans="1:9" x14ac:dyDescent="0.25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  <c r="G5" t="str">
        <f>_xlfn.XLOOKUP(clean[[#This Row],[route_id]],look[route_id],look[route])</f>
        <v>Rural Feeder</v>
      </c>
      <c r="H5" t="str">
        <f>_xlfn.XLOOKUP(clean[[#This Row],[route_id]],look[route_id],look[service_type])</f>
        <v>Standard</v>
      </c>
      <c r="I5">
        <f>MAX(clean[[#This Row],[actual_days]] - clean[[#This Row],[promised_days]])</f>
        <v>4</v>
      </c>
    </row>
    <row r="6" spans="1:9" x14ac:dyDescent="0.25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  <c r="G6" t="str">
        <f>_xlfn.XLOOKUP(clean[[#This Row],[route_id]],look[route_id],look[route])</f>
        <v>Metro Link</v>
      </c>
      <c r="H6" t="str">
        <f>_xlfn.XLOOKUP(clean[[#This Row],[route_id]],look[route_id],look[service_type])</f>
        <v>Express</v>
      </c>
      <c r="I6">
        <f>MAX(clean[[#This Row],[actual_days]] - clean[[#This Row],[promised_days]])</f>
        <v>3</v>
      </c>
    </row>
    <row r="7" spans="1:9" x14ac:dyDescent="0.25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  <c r="G7" t="str">
        <f>_xlfn.XLOOKUP(clean[[#This Row],[route_id]],look[route_id],look[route])</f>
        <v>City Dash</v>
      </c>
      <c r="H7" t="str">
        <f>_xlfn.XLOOKUP(clean[[#This Row],[route_id]],look[route_id],look[service_type])</f>
        <v>Express</v>
      </c>
      <c r="I7">
        <f>MAX(clean[[#This Row],[actual_days]] - clean[[#This Row],[promised_days]])</f>
        <v>0</v>
      </c>
    </row>
    <row r="8" spans="1:9" x14ac:dyDescent="0.25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  <c r="G8" t="str">
        <f>_xlfn.XLOOKUP(clean[[#This Row],[route_id]],look[route_id],look[route])</f>
        <v>Highway Freight</v>
      </c>
      <c r="H8" t="str">
        <f>_xlfn.XLOOKUP(clean[[#This Row],[route_id]],look[route_id],look[service_type])</f>
        <v>Standard</v>
      </c>
      <c r="I8">
        <f>MAX(clean[[#This Row],[actual_days]] - clean[[#This Row],[promised_days]])</f>
        <v>5</v>
      </c>
    </row>
    <row r="9" spans="1:9" x14ac:dyDescent="0.25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  <c r="G9" t="str">
        <f>_xlfn.XLOOKUP(clean[[#This Row],[route_id]],look[route_id],look[route])</f>
        <v>Rural Feeder</v>
      </c>
      <c r="H9" t="str">
        <f>_xlfn.XLOOKUP(clean[[#This Row],[route_id]],look[route_id],look[service_type])</f>
        <v>Standard</v>
      </c>
      <c r="I9">
        <f>MAX(clean[[#This Row],[actual_days]] - clean[[#This Row],[promised_days]])</f>
        <v>1</v>
      </c>
    </row>
    <row r="10" spans="1:9" x14ac:dyDescent="0.25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  <c r="G10" t="str">
        <f>_xlfn.XLOOKUP(clean[[#This Row],[route_id]],look[route_id],look[route])</f>
        <v>Metro Link</v>
      </c>
      <c r="H10" t="str">
        <f>_xlfn.XLOOKUP(clean[[#This Row],[route_id]],look[route_id],look[service_type])</f>
        <v>Express</v>
      </c>
      <c r="I10">
        <f>MAX(clean[[#This Row],[actual_days]] - clean[[#This Row],[promised_days]])</f>
        <v>6</v>
      </c>
    </row>
    <row r="11" spans="1:9" x14ac:dyDescent="0.25">
      <c r="A11">
        <v>10</v>
      </c>
      <c r="B11" t="s">
        <v>15</v>
      </c>
      <c r="C11" t="s">
        <v>9</v>
      </c>
      <c r="D11" t="s">
        <v>8</v>
      </c>
      <c r="E11">
        <v>3</v>
      </c>
      <c r="F11">
        <v>5</v>
      </c>
      <c r="G11" t="str">
        <f>_xlfn.XLOOKUP(clean[[#This Row],[route_id]],look[route_id],look[route])</f>
        <v>City Dash</v>
      </c>
      <c r="H11" t="str">
        <f>_xlfn.XLOOKUP(clean[[#This Row],[route_id]],look[route_id],look[service_type])</f>
        <v>Express</v>
      </c>
      <c r="I11">
        <f>MAX(clean[[#This Row],[actual_days]] - clean[[#This Row],[promised_days]])</f>
        <v>2</v>
      </c>
    </row>
    <row r="12" spans="1:9" x14ac:dyDescent="0.25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  <c r="G12" t="str">
        <f>_xlfn.XLOOKUP(clean[[#This Row],[route_id]],look[route_id],look[route])</f>
        <v>Highway Freight</v>
      </c>
      <c r="H12" t="str">
        <f>_xlfn.XLOOKUP(clean[[#This Row],[route_id]],look[route_id],look[service_type])</f>
        <v>Standard</v>
      </c>
      <c r="I12">
        <f>MAX(clean[[#This Row],[actual_days]] - clean[[#This Row],[promised_days]])</f>
        <v>0</v>
      </c>
    </row>
    <row r="13" spans="1:9" x14ac:dyDescent="0.25">
      <c r="A13">
        <v>12</v>
      </c>
      <c r="B13" t="s">
        <v>15</v>
      </c>
      <c r="C13" t="s">
        <v>13</v>
      </c>
      <c r="D13" t="s">
        <v>8</v>
      </c>
      <c r="E13">
        <v>6</v>
      </c>
      <c r="F13">
        <v>15</v>
      </c>
      <c r="G13" t="str">
        <f>_xlfn.XLOOKUP(clean[[#This Row],[route_id]],look[route_id],look[route])</f>
        <v>Rural Feeder</v>
      </c>
      <c r="H13" t="str">
        <f>_xlfn.XLOOKUP(clean[[#This Row],[route_id]],look[route_id],look[service_type])</f>
        <v>Standard</v>
      </c>
      <c r="I13">
        <f>MAX(clean[[#This Row],[actual_days]] - clean[[#This Row],[promised_days]])</f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3301-A06B-447C-A3A8-377532DD9A8F}">
  <dimension ref="A3:K7"/>
  <sheetViews>
    <sheetView tabSelected="1" workbookViewId="0">
      <selection activeCell="K7" sqref="K7"/>
    </sheetView>
  </sheetViews>
  <sheetFormatPr defaultRowHeight="13.2" x14ac:dyDescent="0.25"/>
  <cols>
    <col min="1" max="1" width="17.77734375" bestFit="1" customWidth="1"/>
    <col min="2" max="2" width="16.21875" bestFit="1" customWidth="1"/>
    <col min="3" max="4" width="4.21875" bestFit="1" customWidth="1"/>
    <col min="5" max="5" width="11.33203125" bestFit="1" customWidth="1"/>
    <col min="10" max="10" width="10" customWidth="1"/>
    <col min="11" max="11" width="14.109375" customWidth="1"/>
  </cols>
  <sheetData>
    <row r="3" spans="1:11" x14ac:dyDescent="0.25">
      <c r="A3" s="5" t="s">
        <v>25</v>
      </c>
      <c r="B3" s="5" t="s">
        <v>28</v>
      </c>
      <c r="J3" t="s">
        <v>29</v>
      </c>
      <c r="K3" t="s">
        <v>24</v>
      </c>
    </row>
    <row r="4" spans="1:11" x14ac:dyDescent="0.25">
      <c r="A4" s="5" t="s">
        <v>26</v>
      </c>
      <c r="B4" t="s">
        <v>6</v>
      </c>
      <c r="C4" t="s">
        <v>14</v>
      </c>
      <c r="D4" t="s">
        <v>15</v>
      </c>
      <c r="E4" t="s">
        <v>27</v>
      </c>
      <c r="J4" t="s">
        <v>10</v>
      </c>
      <c r="K4">
        <f>SUMIFS(clean[Delay_days],clean[hub],"chennai")</f>
        <v>5</v>
      </c>
    </row>
    <row r="5" spans="1:11" x14ac:dyDescent="0.25">
      <c r="A5" s="6" t="s">
        <v>19</v>
      </c>
      <c r="B5">
        <v>1</v>
      </c>
      <c r="C5">
        <v>3</v>
      </c>
      <c r="D5">
        <v>8</v>
      </c>
      <c r="E5">
        <v>12</v>
      </c>
      <c r="J5" t="s">
        <v>12</v>
      </c>
      <c r="K5">
        <f>SUMIFS(clean[Delay_days],clean[hub],"delhi")</f>
        <v>14</v>
      </c>
    </row>
    <row r="6" spans="1:11" x14ac:dyDescent="0.25">
      <c r="A6" s="6" t="s">
        <v>22</v>
      </c>
      <c r="B6">
        <v>7</v>
      </c>
      <c r="C6">
        <v>6</v>
      </c>
      <c r="D6">
        <v>18</v>
      </c>
      <c r="E6">
        <v>31</v>
      </c>
      <c r="J6" t="s">
        <v>8</v>
      </c>
      <c r="K6">
        <f>SUMIFS(clean[Delay_days],clean[hub],"mumbai")</f>
        <v>15</v>
      </c>
    </row>
    <row r="7" spans="1:11" x14ac:dyDescent="0.25">
      <c r="A7" s="6" t="s">
        <v>27</v>
      </c>
      <c r="B7">
        <v>8</v>
      </c>
      <c r="C7">
        <v>9</v>
      </c>
      <c r="D7">
        <v>26</v>
      </c>
      <c r="E7">
        <v>43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Lookup sheet</vt:lpstr>
      <vt:lpstr>Cleaned Data</vt:lpstr>
      <vt:lpstr>Summury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 trivedi</cp:lastModifiedBy>
  <cp:revision>0</cp:revision>
  <dcterms:modified xsi:type="dcterms:W3CDTF">2026-10-03T05:37:27Z</dcterms:modified>
  <dc:language>en-US</dc:language>
</cp:coreProperties>
</file>